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odri\Desktop\"/>
    </mc:Choice>
  </mc:AlternateContent>
  <xr:revisionPtr revIDLastSave="0" documentId="13_ncr:1_{B0047AF1-5FF5-445E-AE98-2B7AF15BCDA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Questão 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O8" i="1"/>
  <c r="P8" i="1"/>
  <c r="Q8" i="1"/>
  <c r="R8" i="1"/>
  <c r="O9" i="1"/>
  <c r="P9" i="1"/>
  <c r="Q9" i="1"/>
  <c r="R9" i="1"/>
  <c r="K8" i="1"/>
  <c r="L8" i="1"/>
  <c r="M8" i="1"/>
  <c r="N8" i="1"/>
  <c r="K9" i="1"/>
  <c r="L9" i="1"/>
  <c r="M9" i="1"/>
  <c r="N9" i="1"/>
  <c r="B8" i="1"/>
  <c r="C9" i="1"/>
  <c r="E9" i="1"/>
  <c r="F9" i="1"/>
  <c r="G9" i="1"/>
  <c r="H9" i="1"/>
  <c r="I9" i="1"/>
  <c r="J9" i="1"/>
  <c r="B9" i="1"/>
  <c r="C8" i="1"/>
  <c r="E8" i="1"/>
  <c r="F8" i="1"/>
  <c r="G8" i="1"/>
  <c r="H8" i="1"/>
  <c r="I8" i="1"/>
  <c r="J8" i="1"/>
</calcChain>
</file>

<file path=xl/sharedStrings.xml><?xml version="1.0" encoding="utf-8"?>
<sst xmlns="http://schemas.openxmlformats.org/spreadsheetml/2006/main" count="8" uniqueCount="6">
  <si>
    <t>NQA</t>
  </si>
  <si>
    <t>NQI</t>
  </si>
  <si>
    <t>β</t>
  </si>
  <si>
    <t>α</t>
  </si>
  <si>
    <t>n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</si>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</sst>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4" xfId="1" applyNumberFormat="1" applyFont="1" applyBorder="1" applyAlignment="1">
      <alignment horizontal="center" vertical="center"/>
    </xf>
    <xf numFmtId="2" fontId="0" fillId="0" borderId="5" xfId="1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2" fontId="0" fillId="0" borderId="7" xfId="1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0" fillId="0" borderId="13" xfId="1" applyNumberFormat="1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H12" sqref="H12"/>
    </sheetView>
  </sheetViews>
  <sheetFormatPr defaultRowHeight="15" x14ac:dyDescent="0.25"/>
  <cols>
    <col min="1" max="2" width="9.140625" style="1"/>
  </cols>
  <sheetData>
    <row r="1" spans="1:18" x14ac:dyDescent="0.25">
      <c r="A1" s="11" t="s">
        <v>0</v>
      </c>
      <c r="B1" s="7">
        <v>7.0000000000000007E-2</v>
      </c>
    </row>
    <row r="2" spans="1:18" x14ac:dyDescent="0.25">
      <c r="A2" s="12" t="s">
        <v>1</v>
      </c>
      <c r="B2" s="8">
        <v>0.15</v>
      </c>
    </row>
    <row r="3" spans="1:18" x14ac:dyDescent="0.25">
      <c r="A3" s="13" t="s">
        <v>3</v>
      </c>
      <c r="B3" s="8">
        <v>0.05</v>
      </c>
    </row>
    <row r="4" spans="1:18" ht="15.75" thickBot="1" x14ac:dyDescent="0.3">
      <c r="A4" s="14" t="s">
        <v>2</v>
      </c>
      <c r="B4" s="9">
        <v>0.1</v>
      </c>
    </row>
    <row r="5" spans="1:18" ht="15.75" thickBot="1" x14ac:dyDescent="0.3"/>
    <row r="6" spans="1:18" ht="15.75" thickBot="1" x14ac:dyDescent="0.3">
      <c r="A6" s="15" t="s">
        <v>4</v>
      </c>
      <c r="B6" s="6">
        <v>132</v>
      </c>
    </row>
    <row r="7" spans="1:18" s="1" customFormat="1" x14ac:dyDescent="0.25">
      <c r="A7" s="11" t="s">
        <v>5</v>
      </c>
      <c r="B7" s="2">
        <v>0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2">
        <v>12</v>
      </c>
      <c r="O7" s="2">
        <v>13</v>
      </c>
      <c r="P7" s="2">
        <v>14</v>
      </c>
      <c r="Q7" s="2">
        <v>15</v>
      </c>
      <c r="R7" s="3">
        <v>16</v>
      </c>
    </row>
    <row r="8" spans="1:18" x14ac:dyDescent="0.25">
      <c r="A8" s="16" t="s">
        <v>3</v>
      </c>
      <c r="B8" s="10">
        <f>1 - _xlfn.BINOM.DIST(B7,$B$6,$B$1,TRUE)</f>
        <v>0.99993085684235439</v>
      </c>
      <c r="C8" s="10">
        <f t="shared" ref="C8:J8" si="0">1 - _xlfn.BINOM.DIST(C7,$B$6,$B$1,TRUE)</f>
        <v>0.99924388611477866</v>
      </c>
      <c r="D8" s="10">
        <f xml:space="preserve"> 1 - _xlfn.BINOM.DIST(D7,$B$6,$B$1,TRUE)</f>
        <v>0.99585704656001039</v>
      </c>
      <c r="E8" s="10">
        <f t="shared" si="0"/>
        <v>0.98481036557492374</v>
      </c>
      <c r="F8" s="10">
        <f t="shared" si="0"/>
        <v>0.95799543834499579</v>
      </c>
      <c r="G8" s="10">
        <f t="shared" si="0"/>
        <v>0.90632624523098393</v>
      </c>
      <c r="H8" s="10">
        <f t="shared" si="0"/>
        <v>0.824007405305614</v>
      </c>
      <c r="I8" s="10">
        <f t="shared" si="0"/>
        <v>0.71247865443898317</v>
      </c>
      <c r="J8" s="10">
        <f t="shared" si="0"/>
        <v>0.58131244878266386</v>
      </c>
      <c r="K8" s="10">
        <f t="shared" ref="K8" si="1">1 - _xlfn.BINOM.DIST(K7,$B$6,$B$1,TRUE)</f>
        <v>0.44528823550944341</v>
      </c>
      <c r="L8" s="10">
        <f t="shared" ref="L8" si="2">1 - _xlfn.BINOM.DIST(L7,$B$6,$B$1,TRUE)</f>
        <v>0.31935614128552703</v>
      </c>
      <c r="M8" s="10">
        <f t="shared" ref="M8" si="3">1 - _xlfn.BINOM.DIST(M7,$B$6,$B$1,TRUE)</f>
        <v>0.21422807826771173</v>
      </c>
      <c r="N8" s="10">
        <f t="shared" ref="N8" si="4">1 - _xlfn.BINOM.DIST(N7,$B$6,$B$1,TRUE)</f>
        <v>0.13444002327121574</v>
      </c>
      <c r="O8" s="10">
        <f t="shared" ref="O8" si="5">1 - _xlfn.BINOM.DIST(O7,$B$6,$B$1,TRUE)</f>
        <v>7.9004153794742349E-2</v>
      </c>
      <c r="P8" s="10">
        <f t="shared" ref="P8" si="6">1 - _xlfn.BINOM.DIST(P7,$B$6,$B$1,TRUE)</f>
        <v>4.3537119022159732E-2</v>
      </c>
      <c r="Q8" s="10">
        <f t="shared" ref="Q8" si="7">1 - _xlfn.BINOM.DIST(Q7,$B$6,$B$1,TRUE)</f>
        <v>2.253656653316094E-2</v>
      </c>
      <c r="R8" s="17">
        <f t="shared" ref="R8" si="8">1 - _xlfn.BINOM.DIST(R7,$B$6,$B$1,TRUE)</f>
        <v>1.0977794699498333E-2</v>
      </c>
    </row>
    <row r="9" spans="1:18" ht="15.75" thickBot="1" x14ac:dyDescent="0.3">
      <c r="A9" s="14" t="s">
        <v>2</v>
      </c>
      <c r="B9" s="4">
        <f>_xlfn.BINOM.DIST(B7,$B$6,$B$2,TRUE)</f>
        <v>4.8227882515440303E-10</v>
      </c>
      <c r="C9" s="4">
        <f t="shared" ref="C9:N9" si="9">_xlfn.BINOM.DIST(C7,$B$6,$B$2,TRUE)</f>
        <v>1.1716538516986376E-8</v>
      </c>
      <c r="D9" s="4">
        <f>_xlfn.BINOM.DIST(D7,$B$6,$B$2,TRUE)</f>
        <v>1.4157136377845603E-7</v>
      </c>
      <c r="E9" s="4">
        <f t="shared" si="9"/>
        <v>1.1345788510720477E-6</v>
      </c>
      <c r="F9" s="4">
        <f t="shared" si="9"/>
        <v>6.7859596978752838E-6</v>
      </c>
      <c r="G9" s="4">
        <f t="shared" si="9"/>
        <v>3.2316903758727564E-5</v>
      </c>
      <c r="H9" s="4">
        <f t="shared" si="9"/>
        <v>1.276824889272052E-4</v>
      </c>
      <c r="I9" s="4">
        <f t="shared" si="9"/>
        <v>4.3060846534472295E-4</v>
      </c>
      <c r="J9" s="4">
        <f t="shared" si="9"/>
        <v>1.2658822973783187E-3</v>
      </c>
      <c r="K9" s="4">
        <f t="shared" si="9"/>
        <v>3.2967441634992149E-3</v>
      </c>
      <c r="L9" s="4">
        <f t="shared" si="9"/>
        <v>7.7049090376086959E-3</v>
      </c>
      <c r="M9" s="4">
        <f t="shared" si="9"/>
        <v>1.6332654192282824E-2</v>
      </c>
      <c r="N9" s="4">
        <f t="shared" si="9"/>
        <v>3.1684965423394197E-2</v>
      </c>
      <c r="O9" s="4">
        <f t="shared" ref="O9:R9" si="10">_xlfn.BINOM.DIST(O7,$B$6,$B$2,TRUE)</f>
        <v>5.6693255211629892E-2</v>
      </c>
      <c r="P9" s="4">
        <f t="shared" si="10"/>
        <v>9.420568989398341E-2</v>
      </c>
      <c r="Q9" s="4">
        <f t="shared" si="10"/>
        <v>0.1462817756883095</v>
      </c>
      <c r="R9" s="5">
        <f t="shared" si="10"/>
        <v>0.21348290110672308</v>
      </c>
    </row>
  </sheetData>
  <conditionalFormatting sqref="B8:R8">
    <cfRule type="cellIs" dxfId="8" priority="9" operator="greaterThan">
      <formula>0.02</formula>
    </cfRule>
    <cfRule type="cellIs" dxfId="7" priority="8" operator="lessThan">
      <formula>0.02</formula>
    </cfRule>
    <cfRule type="cellIs" dxfId="6" priority="5" operator="greaterThan">
      <formula>0.2</formula>
    </cfRule>
    <cfRule type="cellIs" dxfId="5" priority="4" operator="greaterThan">
      <formula>$B$3</formula>
    </cfRule>
    <cfRule type="cellIs" dxfId="4" priority="3" operator="lessThan">
      <formula>$B$3</formula>
    </cfRule>
  </conditionalFormatting>
  <conditionalFormatting sqref="B9:R9">
    <cfRule type="cellIs" dxfId="3" priority="7" operator="greaterThan">
      <formula>0.1</formula>
    </cfRule>
    <cfRule type="cellIs" dxfId="2" priority="6" operator="lessThan">
      <formula>0.1</formula>
    </cfRule>
    <cfRule type="cellIs" dxfId="1" priority="2" operator="greaterThan">
      <formula>$B$4</formula>
    </cfRule>
    <cfRule type="cellIs" dxfId="0" priority="1" operator="lessThan">
      <formula>$B$4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Questão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Celso</dc:creator>
  <cp:lastModifiedBy>Rodrigo Celso</cp:lastModifiedBy>
  <dcterms:created xsi:type="dcterms:W3CDTF">2015-06-05T18:17:20Z</dcterms:created>
  <dcterms:modified xsi:type="dcterms:W3CDTF">2021-08-29T20:56:43Z</dcterms:modified>
</cp:coreProperties>
</file>